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nis\AHRI Estimator\data\vendor_files\"/>
    </mc:Choice>
  </mc:AlternateContent>
  <xr:revisionPtr revIDLastSave="0" documentId="13_ncr:1_{4482E3B4-F201-449B-B9F4-E5D9D24ABAC6}" xr6:coauthVersionLast="47" xr6:coauthVersionMax="47" xr10:uidLastSave="{00000000-0000-0000-0000-000000000000}"/>
  <bookViews>
    <workbookView xWindow="3000" yWindow="1335" windowWidth="19890" windowHeight="1129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5" i="1" l="1"/>
  <c r="O34" i="1"/>
  <c r="O33" i="1"/>
  <c r="O32" i="1"/>
  <c r="O31" i="1"/>
  <c r="O30" i="1"/>
  <c r="O27" i="1"/>
  <c r="O26" i="1"/>
  <c r="O25" i="1"/>
  <c r="O24" i="1"/>
  <c r="O23" i="1"/>
  <c r="O22" i="1"/>
  <c r="O19" i="1"/>
  <c r="O18" i="1"/>
  <c r="O17" i="1"/>
  <c r="O16" i="1"/>
  <c r="O15" i="1"/>
  <c r="O14" i="1"/>
  <c r="O11" i="1"/>
  <c r="O10" i="1"/>
  <c r="O9" i="1"/>
  <c r="O8" i="1"/>
  <c r="O7" i="1"/>
  <c r="O6" i="1"/>
</calcChain>
</file>

<file path=xl/sharedStrings.xml><?xml version="1.0" encoding="utf-8"?>
<sst xmlns="http://schemas.openxmlformats.org/spreadsheetml/2006/main" count="176" uniqueCount="90">
  <si>
    <t>454B STRAIGHT COOL SYSTEM</t>
  </si>
  <si>
    <t>Ton</t>
  </si>
  <si>
    <t>AC CONDENSER</t>
  </si>
  <si>
    <t>AIR HANDLER</t>
  </si>
  <si>
    <t>HEAT STRIP</t>
  </si>
  <si>
    <t>Total</t>
  </si>
  <si>
    <t>SEER 2</t>
  </si>
  <si>
    <t>AHRI #</t>
  </si>
  <si>
    <t>K1548</t>
  </si>
  <si>
    <t>7AC14F24</t>
  </si>
  <si>
    <t>K0988</t>
  </si>
  <si>
    <t>7AH1RE24DX</t>
  </si>
  <si>
    <t>K8628</t>
  </si>
  <si>
    <t>ECB45-10CB</t>
  </si>
  <si>
    <t>K1549</t>
  </si>
  <si>
    <t>7AC14F30</t>
  </si>
  <si>
    <t>K0447</t>
  </si>
  <si>
    <t>7AH1AC30PX</t>
  </si>
  <si>
    <t>K1550</t>
  </si>
  <si>
    <t>7AC14F36</t>
  </si>
  <si>
    <t>K0969</t>
  </si>
  <si>
    <t>7AH1RE36DX</t>
  </si>
  <si>
    <t>K8630</t>
  </si>
  <si>
    <t>ECB45-15CB</t>
  </si>
  <si>
    <t>K1552</t>
  </si>
  <si>
    <t>7AC14F42</t>
  </si>
  <si>
    <t>K0449</t>
  </si>
  <si>
    <t>7AH1AC42PX</t>
  </si>
  <si>
    <t>K1554</t>
  </si>
  <si>
    <t>7AC14F48</t>
  </si>
  <si>
    <t>K0455</t>
  </si>
  <si>
    <t>7AH1AE48PX</t>
  </si>
  <si>
    <t>K1556</t>
  </si>
  <si>
    <t>7AC14F60</t>
  </si>
  <si>
    <t>K0456</t>
  </si>
  <si>
    <t>7AH1AE60PX</t>
  </si>
  <si>
    <t>K8631</t>
  </si>
  <si>
    <t>ECB45-20CB</t>
  </si>
  <si>
    <t>454B HEAT PUMP SYSTEM</t>
  </si>
  <si>
    <t>HEAT PUMP</t>
  </si>
  <si>
    <t>K0530</t>
  </si>
  <si>
    <t>7HP14F24</t>
  </si>
  <si>
    <t>K0531</t>
  </si>
  <si>
    <t>7HP14F30</t>
  </si>
  <si>
    <t>K0532</t>
  </si>
  <si>
    <t>7HP14F36</t>
  </si>
  <si>
    <t>K0533</t>
  </si>
  <si>
    <t>7HP14F42</t>
  </si>
  <si>
    <t>K0534</t>
  </si>
  <si>
    <t>7HP14F48</t>
  </si>
  <si>
    <t>K0535</t>
  </si>
  <si>
    <t>7HP14F60</t>
  </si>
  <si>
    <t>454B GAS UPFLOW SYSTEM</t>
  </si>
  <si>
    <t>FURNACE</t>
  </si>
  <si>
    <t>UPFLOW COIL</t>
  </si>
  <si>
    <t>COST</t>
  </si>
  <si>
    <t>K0744</t>
  </si>
  <si>
    <t>80G1UH045AE12K</t>
  </si>
  <si>
    <t>K0481</t>
  </si>
  <si>
    <t>7EC24AX</t>
  </si>
  <si>
    <t>K0743</t>
  </si>
  <si>
    <t>80G1UH070AE12K</t>
  </si>
  <si>
    <t>K0486</t>
  </si>
  <si>
    <t>7EC30AX</t>
  </si>
  <si>
    <t>K0488</t>
  </si>
  <si>
    <t>7EC36AX</t>
  </si>
  <si>
    <t>K0746</t>
  </si>
  <si>
    <t>80G1UH090BE16K</t>
  </si>
  <si>
    <t>K0490</t>
  </si>
  <si>
    <t>7EC48BX</t>
  </si>
  <si>
    <t>K0747</t>
  </si>
  <si>
    <t>80G1UH090CE20K</t>
  </si>
  <si>
    <t>K0494</t>
  </si>
  <si>
    <t>7EC60CX</t>
  </si>
  <si>
    <t>454B GAS HORIZONTAL SYSTEM</t>
  </si>
  <si>
    <t>HORIZONTAL COIL</t>
  </si>
  <si>
    <t>K0516</t>
  </si>
  <si>
    <t>7EH24AX</t>
  </si>
  <si>
    <t>K0518</t>
  </si>
  <si>
    <t>7EH30AX</t>
  </si>
  <si>
    <t>K0745</t>
  </si>
  <si>
    <t>80G1UH070BE12K</t>
  </si>
  <si>
    <t>K0521</t>
  </si>
  <si>
    <t>7EH36BX</t>
  </si>
  <si>
    <t>K0523</t>
  </si>
  <si>
    <t>7EH42BX</t>
  </si>
  <si>
    <t>K0525</t>
  </si>
  <si>
    <t>7EH48BX</t>
  </si>
  <si>
    <t>K0527</t>
  </si>
  <si>
    <t>7EH51C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</si>
</sst>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;[Red]\-[$$-409]#,##0.00"/>
    <numFmt numFmtId="165" formatCode="_(\$* #,##0.00_);_(\$* \(#,##0.00\);_(\$* \-??_);_(@_)"/>
    <numFmt numFmtId="166" formatCode="\$#,##0.00\ ;[Red]&quot;($&quot;#,##0.00\)"/>
  </numFmts>
  <fonts count="7" x14ac:knownFonts="1">
    <font>
      <sz val="11"/>
      <color theme="1"/>
      <name val="Aptos Narrow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8"/>
      <color rgb="FF003399"/>
      <name val="Arial"/>
      <family val="2"/>
      <charset val="1"/>
    </font>
    <font>
      <sz val="10"/>
      <color rgb="FF003399"/>
      <name val="Arial"/>
      <family val="2"/>
      <charset val="1"/>
    </font>
    <font>
      <sz val="8"/>
      <color theme="1"/>
      <name val="Aptos Narrow"/>
      <family val="2"/>
      <charset val="1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5" fontId="6" fillId="0" borderId="0" applyBorder="0" applyProtection="0"/>
  </cellStyleXfs>
  <cellXfs count="28">
    <xf numFmtId="0" fontId="0" fillId="0" borderId="0" xfId="0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164" fontId="1" fillId="2" borderId="5" xfId="0" applyNumberFormat="1" applyFont="1" applyFill="1" applyBorder="1" applyAlignment="1">
      <alignment horizontal="center"/>
    </xf>
    <xf numFmtId="164" fontId="2" fillId="2" borderId="5" xfId="1" applyNumberFormat="1" applyFont="1" applyFill="1" applyBorder="1" applyAlignment="1" applyProtection="1">
      <alignment horizontal="center"/>
    </xf>
    <xf numFmtId="0" fontId="2" fillId="2" borderId="5" xfId="1" applyNumberFormat="1" applyFont="1" applyFill="1" applyBorder="1" applyAlignment="1" applyProtection="1">
      <alignment horizontal="center"/>
    </xf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166" fontId="1" fillId="2" borderId="5" xfId="0" applyNumberFormat="1" applyFont="1" applyFill="1" applyBorder="1" applyAlignment="1">
      <alignment horizontal="center"/>
    </xf>
    <xf numFmtId="0" fontId="3" fillId="0" borderId="5" xfId="0" applyFont="1" applyBorder="1"/>
    <xf numFmtId="0" fontId="0" fillId="0" borderId="7" xfId="0" applyBorder="1"/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9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6"/>
  <sheetViews>
    <sheetView tabSelected="1" zoomScaleNormal="100" workbookViewId="0">
      <selection activeCell="D14" sqref="D14"/>
    </sheetView>
  </sheetViews>
  <sheetFormatPr defaultColWidth="11.85546875" defaultRowHeight="13.5" customHeight="1" x14ac:dyDescent="0.25"/>
  <cols>
    <col min="1" max="2" width="3.5703125" customWidth="1"/>
    <col min="3" max="3" width="3.5703125" style="3" customWidth="1"/>
    <col min="4" max="4" width="10" style="3" customWidth="1"/>
    <col min="5" max="5" width="6" style="3" customWidth="1"/>
    <col min="6" max="6" width="5.42578125" style="3" customWidth="1"/>
    <col min="7" max="7" width="39.42578125" style="3" customWidth="1"/>
    <col min="8" max="8" width="7.85546875" style="3" customWidth="1"/>
    <col min="9" max="9" width="5.42578125" style="4" customWidth="1"/>
    <col min="10" max="10" width="14.7109375" style="3" customWidth="1"/>
    <col min="11" max="11" width="7.85546875" style="3" customWidth="1"/>
    <col min="12" max="12" width="5.42578125" style="3" customWidth="1"/>
    <col min="13" max="13" width="9.85546875" style="3" customWidth="1"/>
    <col min="14" max="14" width="6.5703125" style="3" customWidth="1"/>
    <col min="15" max="15" width="7.85546875" style="3" customWidth="1"/>
    <col min="16" max="16" width="3.28515625" customWidth="1"/>
    <col min="19" max="19" width="60.7109375" customWidth="1"/>
  </cols>
  <sheetData>
    <row r="1" spans="2:16" ht="12.75" customHeight="1" x14ac:dyDescent="0.25"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2:16" ht="12.75" customHeight="1" x14ac:dyDescent="0.25"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6" ht="13.5" customHeight="1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2:16" ht="13.5" customHeight="1" x14ac:dyDescent="0.25">
      <c r="B4" s="9"/>
      <c r="C4" s="2"/>
      <c r="D4" s="2"/>
      <c r="E4" s="2"/>
      <c r="F4" s="2"/>
      <c r="G4" s="2" t="s">
        <v>0</v>
      </c>
      <c r="H4" s="2"/>
      <c r="I4" s="2"/>
      <c r="J4" s="2"/>
      <c r="K4" s="2"/>
      <c r="L4" s="2"/>
      <c r="M4" s="2"/>
      <c r="N4" s="2"/>
      <c r="O4" s="2"/>
      <c r="P4" s="10"/>
    </row>
    <row r="5" spans="2:16" ht="13.5" customHeight="1" x14ac:dyDescent="0.25">
      <c r="B5" s="9"/>
      <c r="C5" s="1" t="s">
        <v>1</v>
      </c>
      <c r="D5" s="1" t="s">
        <v>7</v>
      </c>
      <c r="E5" s="1" t="s">
        <v>6</v>
      </c>
      <c r="F5" s="27" t="s">
        <v>2</v>
      </c>
      <c r="G5" s="27"/>
      <c r="H5" s="27"/>
      <c r="I5" s="27" t="s">
        <v>3</v>
      </c>
      <c r="J5" s="27"/>
      <c r="K5" s="27"/>
      <c r="L5" s="27" t="s">
        <v>4</v>
      </c>
      <c r="M5" s="27"/>
      <c r="N5" s="27"/>
      <c r="O5" s="11" t="s">
        <v>5</v>
      </c>
      <c r="P5" s="10"/>
    </row>
    <row r="6" spans="2:16" ht="13.5" customHeight="1" x14ac:dyDescent="0.25">
      <c r="B6" s="9"/>
      <c r="C6" s="1">
        <v>2</v>
      </c>
      <c r="D6" s="14">
        <v>218350555</v>
      </c>
      <c r="E6" s="13">
        <v>16</v>
      </c>
      <c r="F6" s="1" t="s">
        <v>8</v>
      </c>
      <c r="G6" s="1" t="s">
        <v>9</v>
      </c>
      <c r="H6" s="11">
        <v>1180.17</v>
      </c>
      <c r="I6" s="12" t="s">
        <v>10</v>
      </c>
      <c r="J6" s="1" t="s">
        <v>11</v>
      </c>
      <c r="K6" s="11">
        <v>861.48</v>
      </c>
      <c r="L6" s="11" t="s">
        <v>12</v>
      </c>
      <c r="M6" s="1" t="s">
        <v>13</v>
      </c>
      <c r="N6" s="12">
        <v>173.55</v>
      </c>
      <c r="O6" s="12">
        <f t="shared" ref="O6:O11" si="0">SUM(N6+K6+H6)</f>
        <v>2215.1999999999998</v>
      </c>
      <c r="P6" s="10"/>
    </row>
    <row r="7" spans="2:16" ht="13.5" customHeight="1" x14ac:dyDescent="0.25">
      <c r="B7" s="9"/>
      <c r="C7" s="1">
        <v>2.5</v>
      </c>
      <c r="D7" s="15">
        <v>215595447</v>
      </c>
      <c r="E7" s="13">
        <v>14.7</v>
      </c>
      <c r="F7" s="1" t="s">
        <v>14</v>
      </c>
      <c r="G7" s="1" t="s">
        <v>15</v>
      </c>
      <c r="H7" s="11">
        <v>1288.71</v>
      </c>
      <c r="I7" s="12" t="s">
        <v>16</v>
      </c>
      <c r="J7" s="1" t="s">
        <v>17</v>
      </c>
      <c r="K7" s="11">
        <v>890.45</v>
      </c>
      <c r="L7" s="11" t="s">
        <v>12</v>
      </c>
      <c r="M7" s="1" t="s">
        <v>13</v>
      </c>
      <c r="N7" s="12">
        <v>173.55</v>
      </c>
      <c r="O7" s="12">
        <f t="shared" si="0"/>
        <v>2352.71</v>
      </c>
      <c r="P7" s="10"/>
    </row>
    <row r="8" spans="2:16" ht="13.5" customHeight="1" x14ac:dyDescent="0.25">
      <c r="B8" s="9"/>
      <c r="C8" s="1">
        <v>3</v>
      </c>
      <c r="D8" s="14">
        <v>218350442</v>
      </c>
      <c r="E8" s="13">
        <v>14.7</v>
      </c>
      <c r="F8" s="1" t="s">
        <v>18</v>
      </c>
      <c r="G8" s="1" t="s">
        <v>19</v>
      </c>
      <c r="H8" s="11">
        <v>1416.66</v>
      </c>
      <c r="I8" s="12" t="s">
        <v>20</v>
      </c>
      <c r="J8" s="1" t="s">
        <v>21</v>
      </c>
      <c r="K8" s="11">
        <v>932.8</v>
      </c>
      <c r="L8" s="11" t="s">
        <v>22</v>
      </c>
      <c r="M8" s="1" t="s">
        <v>23</v>
      </c>
      <c r="N8" s="12">
        <v>224.28</v>
      </c>
      <c r="O8" s="12">
        <f t="shared" si="0"/>
        <v>2573.7399999999998</v>
      </c>
      <c r="P8" s="10"/>
    </row>
    <row r="9" spans="2:16" ht="13.5" customHeight="1" x14ac:dyDescent="0.25">
      <c r="B9" s="9"/>
      <c r="C9" s="1">
        <v>3.5</v>
      </c>
      <c r="D9" s="15">
        <v>215596501</v>
      </c>
      <c r="E9" s="13">
        <v>14.7</v>
      </c>
      <c r="F9" s="1" t="s">
        <v>24</v>
      </c>
      <c r="G9" s="1" t="s">
        <v>25</v>
      </c>
      <c r="H9" s="11">
        <v>1598.31</v>
      </c>
      <c r="I9" s="12" t="s">
        <v>26</v>
      </c>
      <c r="J9" s="1" t="s">
        <v>27</v>
      </c>
      <c r="K9" s="11">
        <v>1005.24</v>
      </c>
      <c r="L9" s="11" t="s">
        <v>22</v>
      </c>
      <c r="M9" s="1" t="s">
        <v>23</v>
      </c>
      <c r="N9" s="12">
        <v>224.28</v>
      </c>
      <c r="O9" s="12">
        <f t="shared" si="0"/>
        <v>2827.83</v>
      </c>
      <c r="P9" s="10"/>
    </row>
    <row r="10" spans="2:16" ht="13.5" customHeight="1" x14ac:dyDescent="0.25">
      <c r="B10" s="9"/>
      <c r="C10" s="1">
        <v>4</v>
      </c>
      <c r="D10" s="15">
        <v>215596930</v>
      </c>
      <c r="E10" s="13">
        <v>14.7</v>
      </c>
      <c r="F10" s="1" t="s">
        <v>28</v>
      </c>
      <c r="G10" s="1" t="s">
        <v>29</v>
      </c>
      <c r="H10" s="11">
        <v>1737.69</v>
      </c>
      <c r="I10" s="12" t="s">
        <v>30</v>
      </c>
      <c r="J10" s="1" t="s">
        <v>31</v>
      </c>
      <c r="K10" s="11">
        <v>1376.58</v>
      </c>
      <c r="L10" s="11" t="s">
        <v>22</v>
      </c>
      <c r="M10" s="1" t="s">
        <v>23</v>
      </c>
      <c r="N10" s="12">
        <v>224.28</v>
      </c>
      <c r="O10" s="12">
        <f t="shared" si="0"/>
        <v>3338.55</v>
      </c>
      <c r="P10" s="10"/>
    </row>
    <row r="11" spans="2:16" ht="13.5" customHeight="1" x14ac:dyDescent="0.25">
      <c r="B11" s="9"/>
      <c r="C11" s="1">
        <v>5</v>
      </c>
      <c r="D11" s="15">
        <v>215597182</v>
      </c>
      <c r="E11" s="13">
        <v>13.8</v>
      </c>
      <c r="F11" s="1" t="s">
        <v>32</v>
      </c>
      <c r="G11" s="1" t="s">
        <v>33</v>
      </c>
      <c r="H11" s="11">
        <v>2054.16</v>
      </c>
      <c r="I11" s="12" t="s">
        <v>34</v>
      </c>
      <c r="J11" s="1" t="s">
        <v>35</v>
      </c>
      <c r="K11" s="11">
        <v>1444.24</v>
      </c>
      <c r="L11" s="11" t="s">
        <v>36</v>
      </c>
      <c r="M11" s="1" t="s">
        <v>37</v>
      </c>
      <c r="N11" s="12">
        <v>287.02999999999997</v>
      </c>
      <c r="O11" s="12">
        <f t="shared" si="0"/>
        <v>3785.43</v>
      </c>
      <c r="P11" s="10"/>
    </row>
    <row r="12" spans="2:16" ht="13.5" customHeight="1" x14ac:dyDescent="0.25">
      <c r="B12" s="9"/>
      <c r="C12" s="26" t="s">
        <v>38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10"/>
    </row>
    <row r="13" spans="2:16" ht="13.5" customHeight="1" x14ac:dyDescent="0.25">
      <c r="B13" s="9"/>
      <c r="C13" s="1" t="s">
        <v>1</v>
      </c>
      <c r="D13" s="1" t="s">
        <v>7</v>
      </c>
      <c r="E13" s="1" t="s">
        <v>6</v>
      </c>
      <c r="F13" s="27" t="s">
        <v>39</v>
      </c>
      <c r="G13" s="27"/>
      <c r="H13" s="27"/>
      <c r="I13" s="27" t="s">
        <v>3</v>
      </c>
      <c r="J13" s="27"/>
      <c r="K13" s="27"/>
      <c r="L13" s="27" t="s">
        <v>4</v>
      </c>
      <c r="M13" s="27"/>
      <c r="N13" s="27"/>
      <c r="O13" s="11" t="s">
        <v>5</v>
      </c>
      <c r="P13" s="10"/>
    </row>
    <row r="14" spans="2:16" ht="13.5" customHeight="1" x14ac:dyDescent="0.25">
      <c r="B14" s="9"/>
      <c r="C14" s="1">
        <v>2</v>
      </c>
      <c r="D14" s="14">
        <v>218350701</v>
      </c>
      <c r="E14" s="13">
        <v>15.2</v>
      </c>
      <c r="F14" s="1" t="s">
        <v>40</v>
      </c>
      <c r="G14" s="1" t="s">
        <v>41</v>
      </c>
      <c r="H14" s="12">
        <v>1442.11</v>
      </c>
      <c r="I14" s="12" t="s">
        <v>10</v>
      </c>
      <c r="J14" s="1" t="s">
        <v>11</v>
      </c>
      <c r="K14" s="11">
        <v>861.48</v>
      </c>
      <c r="L14" s="11" t="s">
        <v>12</v>
      </c>
      <c r="M14" s="1" t="s">
        <v>13</v>
      </c>
      <c r="N14" s="12">
        <v>173.55</v>
      </c>
      <c r="O14" s="12">
        <f t="shared" ref="O14:O19" si="1">SUM(N14+K14+H14)</f>
        <v>2477.14</v>
      </c>
      <c r="P14" s="10"/>
    </row>
    <row r="15" spans="2:16" ht="13.5" customHeight="1" x14ac:dyDescent="0.25">
      <c r="B15" s="9"/>
      <c r="C15" s="1">
        <v>2.5</v>
      </c>
      <c r="D15" s="15">
        <v>215719874</v>
      </c>
      <c r="E15" s="13">
        <v>14.3</v>
      </c>
      <c r="F15" s="1" t="s">
        <v>42</v>
      </c>
      <c r="G15" s="1" t="s">
        <v>43</v>
      </c>
      <c r="H15" s="12">
        <v>1631.57</v>
      </c>
      <c r="I15" s="12" t="s">
        <v>16</v>
      </c>
      <c r="J15" s="1" t="s">
        <v>17</v>
      </c>
      <c r="K15" s="11">
        <v>890.45</v>
      </c>
      <c r="L15" s="11" t="s">
        <v>12</v>
      </c>
      <c r="M15" s="1" t="s">
        <v>13</v>
      </c>
      <c r="N15" s="12">
        <v>173.55</v>
      </c>
      <c r="O15" s="12">
        <f t="shared" si="1"/>
        <v>2695.5699999999997</v>
      </c>
      <c r="P15" s="10"/>
    </row>
    <row r="16" spans="2:16" ht="13.5" customHeight="1" x14ac:dyDescent="0.25">
      <c r="B16" s="9"/>
      <c r="C16" s="1">
        <v>3</v>
      </c>
      <c r="D16" s="14">
        <v>218350716</v>
      </c>
      <c r="E16" s="13">
        <v>14.7</v>
      </c>
      <c r="F16" s="1" t="s">
        <v>44</v>
      </c>
      <c r="G16" s="1" t="s">
        <v>45</v>
      </c>
      <c r="H16" s="12">
        <v>1823.25</v>
      </c>
      <c r="I16" s="12" t="s">
        <v>20</v>
      </c>
      <c r="J16" s="1" t="s">
        <v>21</v>
      </c>
      <c r="K16" s="11">
        <v>932.8</v>
      </c>
      <c r="L16" s="11" t="s">
        <v>12</v>
      </c>
      <c r="M16" s="1" t="s">
        <v>13</v>
      </c>
      <c r="N16" s="12">
        <v>173.55</v>
      </c>
      <c r="O16" s="12">
        <f t="shared" si="1"/>
        <v>2929.6</v>
      </c>
      <c r="P16" s="10"/>
    </row>
    <row r="17" spans="2:16" ht="13.5" customHeight="1" x14ac:dyDescent="0.25">
      <c r="B17" s="9"/>
      <c r="C17" s="1">
        <v>3.5</v>
      </c>
      <c r="D17" s="15">
        <v>215740142</v>
      </c>
      <c r="E17" s="13">
        <v>14.3</v>
      </c>
      <c r="F17" s="1" t="s">
        <v>46</v>
      </c>
      <c r="G17" s="1" t="s">
        <v>47</v>
      </c>
      <c r="H17" s="12">
        <v>1922.44</v>
      </c>
      <c r="I17" s="12" t="s">
        <v>26</v>
      </c>
      <c r="J17" s="1" t="s">
        <v>27</v>
      </c>
      <c r="K17" s="11">
        <v>1005.24</v>
      </c>
      <c r="L17" s="11" t="s">
        <v>22</v>
      </c>
      <c r="M17" s="1" t="s">
        <v>23</v>
      </c>
      <c r="N17" s="12">
        <v>224.28</v>
      </c>
      <c r="O17" s="12">
        <f t="shared" si="1"/>
        <v>3151.96</v>
      </c>
      <c r="P17" s="10"/>
    </row>
    <row r="18" spans="2:16" ht="13.5" customHeight="1" x14ac:dyDescent="0.25">
      <c r="B18" s="9"/>
      <c r="C18" s="1">
        <v>4</v>
      </c>
      <c r="D18" s="15">
        <v>215746911</v>
      </c>
      <c r="E18" s="13">
        <v>14.3</v>
      </c>
      <c r="F18" s="1" t="s">
        <v>48</v>
      </c>
      <c r="G18" s="1" t="s">
        <v>49</v>
      </c>
      <c r="H18" s="12">
        <v>2116.35</v>
      </c>
      <c r="I18" s="12" t="s">
        <v>30</v>
      </c>
      <c r="J18" s="1" t="s">
        <v>31</v>
      </c>
      <c r="K18" s="11">
        <v>1376.58</v>
      </c>
      <c r="L18" s="11" t="s">
        <v>22</v>
      </c>
      <c r="M18" s="1" t="s">
        <v>23</v>
      </c>
      <c r="N18" s="12">
        <v>224.28</v>
      </c>
      <c r="O18" s="12">
        <f t="shared" si="1"/>
        <v>3717.21</v>
      </c>
      <c r="P18" s="10"/>
    </row>
    <row r="19" spans="2:16" ht="13.5" customHeight="1" x14ac:dyDescent="0.25">
      <c r="B19" s="9"/>
      <c r="C19" s="1">
        <v>5</v>
      </c>
      <c r="D19" s="16">
        <v>215747905</v>
      </c>
      <c r="E19" s="13">
        <v>14.3</v>
      </c>
      <c r="F19" s="1" t="s">
        <v>50</v>
      </c>
      <c r="G19" s="1" t="s">
        <v>51</v>
      </c>
      <c r="H19" s="12">
        <v>2359.31</v>
      </c>
      <c r="I19" s="12" t="s">
        <v>34</v>
      </c>
      <c r="J19" s="1" t="s">
        <v>35</v>
      </c>
      <c r="K19" s="11">
        <v>1444.24</v>
      </c>
      <c r="L19" s="11" t="s">
        <v>36</v>
      </c>
      <c r="M19" s="1" t="s">
        <v>37</v>
      </c>
      <c r="N19" s="12">
        <v>287.02999999999997</v>
      </c>
      <c r="O19" s="12">
        <f t="shared" si="1"/>
        <v>4090.58</v>
      </c>
      <c r="P19" s="17"/>
    </row>
    <row r="20" spans="2:16" ht="13.5" customHeight="1" x14ac:dyDescent="0.25">
      <c r="B20" s="9"/>
      <c r="C20" s="26" t="s">
        <v>52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10"/>
    </row>
    <row r="21" spans="2:16" ht="13.5" customHeight="1" x14ac:dyDescent="0.25">
      <c r="B21" s="9"/>
      <c r="C21" s="1" t="s">
        <v>1</v>
      </c>
      <c r="D21" s="1" t="s">
        <v>7</v>
      </c>
      <c r="E21" s="1" t="s">
        <v>6</v>
      </c>
      <c r="F21" s="27" t="s">
        <v>2</v>
      </c>
      <c r="G21" s="27"/>
      <c r="H21" s="27"/>
      <c r="I21" s="27" t="s">
        <v>53</v>
      </c>
      <c r="J21" s="27"/>
      <c r="K21" s="27"/>
      <c r="L21" s="27" t="s">
        <v>54</v>
      </c>
      <c r="M21" s="27"/>
      <c r="N21" s="27"/>
      <c r="O21" s="11" t="s">
        <v>55</v>
      </c>
      <c r="P21" s="10"/>
    </row>
    <row r="22" spans="2:16" ht="13.5" customHeight="1" x14ac:dyDescent="0.25">
      <c r="B22" s="9"/>
      <c r="C22" s="1">
        <v>2</v>
      </c>
      <c r="D22" s="15">
        <v>215595194</v>
      </c>
      <c r="E22" s="13">
        <v>16</v>
      </c>
      <c r="F22" s="1" t="s">
        <v>8</v>
      </c>
      <c r="G22" s="1" t="s">
        <v>9</v>
      </c>
      <c r="H22" s="11">
        <v>1180.17</v>
      </c>
      <c r="I22" s="1" t="s">
        <v>56</v>
      </c>
      <c r="J22" s="1" t="s">
        <v>57</v>
      </c>
      <c r="K22" s="18">
        <v>635.84</v>
      </c>
      <c r="L22" s="1" t="s">
        <v>58</v>
      </c>
      <c r="M22" s="1" t="s">
        <v>59</v>
      </c>
      <c r="N22" s="11">
        <v>505.54</v>
      </c>
      <c r="O22" s="12">
        <f t="shared" ref="O22:O27" si="2">SUM(N22+K22+H22)</f>
        <v>2321.5500000000002</v>
      </c>
      <c r="P22" s="10"/>
    </row>
    <row r="23" spans="2:16" ht="13.5" customHeight="1" x14ac:dyDescent="0.25">
      <c r="B23" s="9"/>
      <c r="C23" s="1">
        <v>2.5</v>
      </c>
      <c r="D23" s="15">
        <v>215595558</v>
      </c>
      <c r="E23" s="13">
        <v>16</v>
      </c>
      <c r="F23" s="1" t="s">
        <v>14</v>
      </c>
      <c r="G23" s="1" t="s">
        <v>15</v>
      </c>
      <c r="H23" s="11">
        <v>1288.71</v>
      </c>
      <c r="I23" s="1" t="s">
        <v>60</v>
      </c>
      <c r="J23" s="1" t="s">
        <v>61</v>
      </c>
      <c r="K23" s="18">
        <v>646.04</v>
      </c>
      <c r="L23" s="1" t="s">
        <v>62</v>
      </c>
      <c r="M23" s="1" t="s">
        <v>63</v>
      </c>
      <c r="N23" s="11">
        <v>567.22</v>
      </c>
      <c r="O23" s="12">
        <f t="shared" si="2"/>
        <v>2501.9700000000003</v>
      </c>
      <c r="P23" s="10"/>
    </row>
    <row r="24" spans="2:16" ht="13.5" customHeight="1" x14ac:dyDescent="0.25">
      <c r="B24" s="9"/>
      <c r="C24" s="1">
        <v>3</v>
      </c>
      <c r="D24" s="15">
        <v>215595904</v>
      </c>
      <c r="E24" s="13">
        <v>15.5</v>
      </c>
      <c r="F24" s="1" t="s">
        <v>18</v>
      </c>
      <c r="G24" s="1" t="s">
        <v>19</v>
      </c>
      <c r="H24" s="11">
        <v>1416.66</v>
      </c>
      <c r="I24" s="1" t="s">
        <v>60</v>
      </c>
      <c r="J24" s="1" t="s">
        <v>61</v>
      </c>
      <c r="K24" s="18">
        <v>646.04</v>
      </c>
      <c r="L24" s="1" t="s">
        <v>64</v>
      </c>
      <c r="M24" s="1" t="s">
        <v>65</v>
      </c>
      <c r="N24" s="11">
        <v>606.11</v>
      </c>
      <c r="O24" s="12">
        <f t="shared" si="2"/>
        <v>2668.8100000000004</v>
      </c>
      <c r="P24" s="10"/>
    </row>
    <row r="25" spans="2:16" ht="13.5" customHeight="1" x14ac:dyDescent="0.25">
      <c r="B25" s="9"/>
      <c r="C25" s="1">
        <v>3.5</v>
      </c>
      <c r="D25" s="15">
        <v>215596551</v>
      </c>
      <c r="E25" s="13">
        <v>15.5</v>
      </c>
      <c r="F25" s="1" t="s">
        <v>24</v>
      </c>
      <c r="G25" s="1" t="s">
        <v>25</v>
      </c>
      <c r="H25" s="11">
        <v>1598.31</v>
      </c>
      <c r="I25" s="1" t="s">
        <v>66</v>
      </c>
      <c r="J25" s="1" t="s">
        <v>67</v>
      </c>
      <c r="K25" s="18">
        <v>673.25</v>
      </c>
      <c r="L25" s="1" t="s">
        <v>68</v>
      </c>
      <c r="M25" s="1" t="s">
        <v>69</v>
      </c>
      <c r="N25" s="11">
        <v>650.59</v>
      </c>
      <c r="O25" s="12">
        <f t="shared" si="2"/>
        <v>2922.15</v>
      </c>
      <c r="P25" s="10"/>
    </row>
    <row r="26" spans="2:16" ht="13.5" customHeight="1" x14ac:dyDescent="0.25">
      <c r="B26" s="9"/>
      <c r="C26" s="1">
        <v>4</v>
      </c>
      <c r="D26" s="15">
        <v>215596948</v>
      </c>
      <c r="E26" s="13">
        <v>14.7</v>
      </c>
      <c r="F26" s="1" t="s">
        <v>28</v>
      </c>
      <c r="G26" s="1" t="s">
        <v>29</v>
      </c>
      <c r="H26" s="11">
        <v>1737.69</v>
      </c>
      <c r="I26" s="1" t="s">
        <v>66</v>
      </c>
      <c r="J26" s="1" t="s">
        <v>67</v>
      </c>
      <c r="K26" s="18">
        <v>673.25</v>
      </c>
      <c r="L26" s="1" t="s">
        <v>68</v>
      </c>
      <c r="M26" s="1" t="s">
        <v>69</v>
      </c>
      <c r="N26" s="11">
        <v>650.59</v>
      </c>
      <c r="O26" s="12">
        <f t="shared" si="2"/>
        <v>3061.53</v>
      </c>
      <c r="P26" s="10"/>
    </row>
    <row r="27" spans="2:16" ht="13.5" customHeight="1" x14ac:dyDescent="0.25">
      <c r="B27" s="9"/>
      <c r="C27" s="1">
        <v>5</v>
      </c>
      <c r="D27" s="15">
        <v>215597202</v>
      </c>
      <c r="E27" s="13">
        <v>14.3</v>
      </c>
      <c r="F27" s="1" t="s">
        <v>32</v>
      </c>
      <c r="G27" s="1" t="s">
        <v>33</v>
      </c>
      <c r="H27" s="11">
        <v>2054.16</v>
      </c>
      <c r="I27" s="1" t="s">
        <v>70</v>
      </c>
      <c r="J27" s="1" t="s">
        <v>71</v>
      </c>
      <c r="K27" s="18">
        <v>743.52</v>
      </c>
      <c r="L27" s="1" t="s">
        <v>72</v>
      </c>
      <c r="M27" s="1" t="s">
        <v>73</v>
      </c>
      <c r="N27" s="11">
        <v>735.48</v>
      </c>
      <c r="O27" s="12">
        <f t="shared" si="2"/>
        <v>3533.16</v>
      </c>
      <c r="P27" s="10"/>
    </row>
    <row r="28" spans="2:16" ht="13.5" customHeight="1" x14ac:dyDescent="0.25">
      <c r="B28" s="9"/>
      <c r="C28" s="26" t="s">
        <v>74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10"/>
    </row>
    <row r="29" spans="2:16" ht="13.5" customHeight="1" x14ac:dyDescent="0.25">
      <c r="B29" s="9"/>
      <c r="C29" s="1" t="s">
        <v>1</v>
      </c>
      <c r="D29" s="1" t="s">
        <v>7</v>
      </c>
      <c r="E29" s="1" t="s">
        <v>6</v>
      </c>
      <c r="F29" s="27" t="s">
        <v>2</v>
      </c>
      <c r="G29" s="27"/>
      <c r="H29" s="27"/>
      <c r="I29" s="27" t="s">
        <v>53</v>
      </c>
      <c r="J29" s="27"/>
      <c r="K29" s="27"/>
      <c r="L29" s="27" t="s">
        <v>75</v>
      </c>
      <c r="M29" s="27"/>
      <c r="N29" s="27"/>
      <c r="O29" s="11" t="s">
        <v>55</v>
      </c>
      <c r="P29" s="10"/>
    </row>
    <row r="30" spans="2:16" ht="13.5" customHeight="1" x14ac:dyDescent="0.25">
      <c r="B30" s="9"/>
      <c r="C30" s="1">
        <v>2</v>
      </c>
      <c r="D30" s="15">
        <v>215595349</v>
      </c>
      <c r="E30" s="13">
        <v>16</v>
      </c>
      <c r="F30" s="1" t="s">
        <v>8</v>
      </c>
      <c r="G30" s="1" t="s">
        <v>9</v>
      </c>
      <c r="H30" s="11">
        <v>1180.17</v>
      </c>
      <c r="I30" s="1" t="s">
        <v>56</v>
      </c>
      <c r="J30" s="1" t="s">
        <v>57</v>
      </c>
      <c r="K30" s="18">
        <v>635.84</v>
      </c>
      <c r="L30" s="1" t="s">
        <v>76</v>
      </c>
      <c r="M30" s="1" t="s">
        <v>77</v>
      </c>
      <c r="N30" s="11">
        <v>627.54999999999995</v>
      </c>
      <c r="O30" s="12">
        <f t="shared" ref="O30:O35" si="3">SUM(N30+K30+H30)</f>
        <v>2443.56</v>
      </c>
      <c r="P30" s="10"/>
    </row>
    <row r="31" spans="2:16" ht="13.5" customHeight="1" x14ac:dyDescent="0.25">
      <c r="B31" s="9"/>
      <c r="C31" s="1">
        <v>2.5</v>
      </c>
      <c r="D31" s="15">
        <v>215595670</v>
      </c>
      <c r="E31" s="13">
        <v>16</v>
      </c>
      <c r="F31" s="1" t="s">
        <v>14</v>
      </c>
      <c r="G31" s="1" t="s">
        <v>15</v>
      </c>
      <c r="H31" s="11">
        <v>1288.71</v>
      </c>
      <c r="I31" s="1" t="s">
        <v>60</v>
      </c>
      <c r="J31" s="1" t="s">
        <v>61</v>
      </c>
      <c r="K31" s="18">
        <v>646.04</v>
      </c>
      <c r="L31" s="1" t="s">
        <v>78</v>
      </c>
      <c r="M31" s="1" t="s">
        <v>79</v>
      </c>
      <c r="N31" s="11">
        <v>652.29999999999995</v>
      </c>
      <c r="O31" s="12">
        <f t="shared" si="3"/>
        <v>2587.0500000000002</v>
      </c>
      <c r="P31" s="10"/>
    </row>
    <row r="32" spans="2:16" ht="13.5" customHeight="1" x14ac:dyDescent="0.25">
      <c r="B32" s="9"/>
      <c r="C32" s="1">
        <v>3</v>
      </c>
      <c r="D32" s="19">
        <v>215596139</v>
      </c>
      <c r="E32" s="13">
        <v>16</v>
      </c>
      <c r="F32" s="1" t="s">
        <v>18</v>
      </c>
      <c r="G32" s="1" t="s">
        <v>19</v>
      </c>
      <c r="H32" s="11">
        <v>1416.66</v>
      </c>
      <c r="I32" s="1" t="s">
        <v>80</v>
      </c>
      <c r="J32" s="1" t="s">
        <v>81</v>
      </c>
      <c r="K32" s="18">
        <v>704.98</v>
      </c>
      <c r="L32" s="1" t="s">
        <v>82</v>
      </c>
      <c r="M32" s="1" t="s">
        <v>83</v>
      </c>
      <c r="N32" s="11">
        <v>652.29999999999995</v>
      </c>
      <c r="O32" s="12">
        <f t="shared" si="3"/>
        <v>2773.94</v>
      </c>
      <c r="P32" s="10"/>
    </row>
    <row r="33" spans="2:16" ht="13.5" customHeight="1" x14ac:dyDescent="0.25">
      <c r="B33" s="9"/>
      <c r="C33" s="1">
        <v>3.5</v>
      </c>
      <c r="D33" s="16">
        <v>215596677</v>
      </c>
      <c r="E33" s="13">
        <v>16</v>
      </c>
      <c r="F33" s="1" t="s">
        <v>24</v>
      </c>
      <c r="G33" s="1" t="s">
        <v>25</v>
      </c>
      <c r="H33" s="11">
        <v>1598.31</v>
      </c>
      <c r="I33" s="1" t="s">
        <v>66</v>
      </c>
      <c r="J33" s="1" t="s">
        <v>67</v>
      </c>
      <c r="K33" s="18">
        <v>673.25</v>
      </c>
      <c r="L33" s="1" t="s">
        <v>84</v>
      </c>
      <c r="M33" s="1" t="s">
        <v>85</v>
      </c>
      <c r="N33" s="11">
        <v>702.08</v>
      </c>
      <c r="O33" s="12">
        <f t="shared" si="3"/>
        <v>2973.64</v>
      </c>
      <c r="P33" s="17"/>
    </row>
    <row r="34" spans="2:16" ht="13.5" customHeight="1" x14ac:dyDescent="0.25">
      <c r="B34" s="9"/>
      <c r="C34" s="1">
        <v>4</v>
      </c>
      <c r="D34" s="15">
        <v>215597053</v>
      </c>
      <c r="E34" s="13">
        <v>14.3</v>
      </c>
      <c r="F34" s="1" t="s">
        <v>28</v>
      </c>
      <c r="G34" s="1" t="s">
        <v>29</v>
      </c>
      <c r="H34" s="11">
        <v>1737.69</v>
      </c>
      <c r="I34" s="1" t="s">
        <v>66</v>
      </c>
      <c r="J34" s="1" t="s">
        <v>67</v>
      </c>
      <c r="K34" s="18">
        <v>673.25</v>
      </c>
      <c r="L34" s="1" t="s">
        <v>86</v>
      </c>
      <c r="M34" s="1" t="s">
        <v>87</v>
      </c>
      <c r="N34" s="11">
        <v>746</v>
      </c>
      <c r="O34" s="12">
        <f t="shared" si="3"/>
        <v>3156.94</v>
      </c>
      <c r="P34" s="10"/>
    </row>
    <row r="35" spans="2:16" ht="13.5" customHeight="1" x14ac:dyDescent="0.25">
      <c r="B35" s="9"/>
      <c r="C35" s="1">
        <v>5</v>
      </c>
      <c r="D35" s="15">
        <v>215597216</v>
      </c>
      <c r="E35" s="13">
        <v>13.8</v>
      </c>
      <c r="F35" s="1" t="s">
        <v>32</v>
      </c>
      <c r="G35" s="1" t="s">
        <v>33</v>
      </c>
      <c r="H35" s="11">
        <v>2054.16</v>
      </c>
      <c r="I35" s="1" t="s">
        <v>70</v>
      </c>
      <c r="J35" s="1" t="s">
        <v>71</v>
      </c>
      <c r="K35" s="18">
        <v>743.52</v>
      </c>
      <c r="L35" s="1" t="s">
        <v>88</v>
      </c>
      <c r="M35" s="1" t="s">
        <v>89</v>
      </c>
      <c r="N35" s="11">
        <v>830.89</v>
      </c>
      <c r="O35" s="12">
        <f t="shared" si="3"/>
        <v>3628.5699999999997</v>
      </c>
      <c r="P35" s="10"/>
    </row>
    <row r="36" spans="2:16" ht="13.5" customHeight="1" x14ac:dyDescent="0.25">
      <c r="B36" s="20"/>
      <c r="C36" s="21"/>
      <c r="D36" s="24"/>
      <c r="E36" s="24"/>
      <c r="F36" s="22"/>
      <c r="G36" s="22"/>
      <c r="H36" s="22"/>
      <c r="I36" s="23"/>
      <c r="J36" s="22"/>
      <c r="K36" s="22"/>
      <c r="L36" s="22"/>
      <c r="M36" s="24"/>
      <c r="N36" s="24"/>
      <c r="O36" s="24"/>
      <c r="P36" s="25"/>
    </row>
  </sheetData>
  <mergeCells count="15">
    <mergeCell ref="F5:H5"/>
    <mergeCell ref="I5:K5"/>
    <mergeCell ref="L5:N5"/>
    <mergeCell ref="C12:O12"/>
    <mergeCell ref="C28:O28"/>
    <mergeCell ref="F29:H29"/>
    <mergeCell ref="I29:K29"/>
    <mergeCell ref="L29:N29"/>
    <mergeCell ref="F13:H13"/>
    <mergeCell ref="I13:K13"/>
    <mergeCell ref="L13:N13"/>
    <mergeCell ref="C20:O20"/>
    <mergeCell ref="F21:H21"/>
    <mergeCell ref="I21:K21"/>
    <mergeCell ref="L21:N21"/>
  </mergeCells>
  <pageMargins left="0.7" right="0.7" top="0.75" bottom="0.75" header="0.511811023622047" footer="0.511811023622047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Nortman</dc:creator>
  <dc:description/>
  <cp:lastModifiedBy>Dustine Pierson</cp:lastModifiedBy>
  <cp:revision>3</cp:revision>
  <cp:lastPrinted>2025-04-04T09:15:30Z</cp:lastPrinted>
  <dcterms:created xsi:type="dcterms:W3CDTF">2024-12-17T15:38:08Z</dcterms:created>
  <dcterms:modified xsi:type="dcterms:W3CDTF">2026-09-10T19:40:52Z</dcterms:modified>
  <dc:language>en-US</dc:language>
</cp:coreProperties>
</file>